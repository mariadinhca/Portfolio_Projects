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OWNER\Downloads\"/>
    </mc:Choice>
  </mc:AlternateContent>
  <xr:revisionPtr revIDLastSave="0" documentId="13_ncr:1_{923FFC73-CCB9-4CBC-BB50-6073E935C490}" xr6:coauthVersionLast="47" xr6:coauthVersionMax="47" xr10:uidLastSave="{00000000-0000-0000-0000-000000000000}"/>
  <bookViews>
    <workbookView xWindow="-108" yWindow="-108" windowWidth="23256" windowHeight="12720" firstSheet="3" activeTab="3" xr2:uid="{00000000-000D-0000-FFFF-FFFF00000000}"/>
  </bookViews>
  <sheets>
    <sheet name="bike_buyers" sheetId="1" state="hidden" r:id="rId1"/>
    <sheet name="Working Sheet" sheetId="4" state="hidden" r:id="rId2"/>
    <sheet name="Pivot Table" sheetId="3" state="hidden"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8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<sst xmlns="http://schemas.openxmlformats.org/spreadsheetml/2006/main" count="16266" uniqueCount="51">
  <si>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</si>
  <si>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</si>
  <si>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</si>
  <si>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</si>
  <si>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</si>
  <si>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</si>
  <si>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</si>
  <si>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</si>
  <si>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</si>
  <si>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</si>
  <si>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</si>
  <si>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</si>
  <si>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</si>
  <si>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</si>
  <si>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</si>
  <si>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</si>
  <si>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</si>
  <si>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</si>
  <si>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</si>
  <si>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</si>
  <si>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</si>
  <si>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</si>
  <si>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</si>
  <si>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</si>
  <si>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</si>
  <si>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</si>
  <si>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</si>
  <si>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</si>
  <si>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</si>
  <si>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</si>
  <si>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</si>
  <si>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</si>
  <si>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</si>
  <si>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</si>
  <si>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</si>
  <si>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</si>
  <si>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</si>
  <si>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</si>
  <si>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</si>
  <si>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</si>
  <si>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</si>
  <si>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Average of Income</t>
  </si>
  <si>
    <t>Row Labels</t>
  </si>
  <si>
    <t>Grand Total</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</si>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</sst>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15000</c:v>
                </c:pt>
                <c:pt idx="1">
                  <c:v>23333.333333333332</c:v>
                </c:pt>
              </c:numCache>
            </c:numRef>
          </c:val>
          <c:extLst>
            <c:ext xmlns:c16="http://schemas.microsoft.com/office/drawing/2014/chart" uri="{C3380CC4-5D6E-409C-BE32-E72D297353CC}">
              <c16:uniqueId val="{00000000-6FC2-46EC-B5B4-B9969E4C126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63333.333333333336</c:v>
                </c:pt>
                <c:pt idx="1">
                  <c:v>48571.428571428572</c:v>
                </c:pt>
              </c:numCache>
            </c:numRef>
          </c:val>
          <c:extLst>
            <c:ext xmlns:c16="http://schemas.microsoft.com/office/drawing/2014/chart" uri="{C3380CC4-5D6E-409C-BE32-E72D297353CC}">
              <c16:uniqueId val="{00000001-6FC2-46EC-B5B4-B9969E4C1264}"/>
            </c:ext>
          </c:extLst>
        </c:ser>
        <c:dLbls>
          <c:showLegendKey val="0"/>
          <c:showVal val="0"/>
          <c:showCatName val="0"/>
          <c:showSerName val="0"/>
          <c:showPercent val="0"/>
          <c:showBubbleSize val="0"/>
        </c:dLbls>
        <c:gapWidth val="219"/>
        <c:overlap val="-27"/>
        <c:axId val="458625199"/>
        <c:axId val="458651119"/>
      </c:barChart>
      <c:catAx>
        <c:axId val="458625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51119"/>
        <c:crosses val="autoZero"/>
        <c:auto val="1"/>
        <c:lblAlgn val="ctr"/>
        <c:lblOffset val="100"/>
        <c:noMultiLvlLbl val="0"/>
      </c:catAx>
      <c:valAx>
        <c:axId val="458651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251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1-2 Miles</c:v>
                </c:pt>
                <c:pt idx="1">
                  <c:v>2-5 Miles</c:v>
                </c:pt>
                <c:pt idx="2">
                  <c:v>5-10 Miles</c:v>
                </c:pt>
                <c:pt idx="3">
                  <c:v>More than 10 Miles</c:v>
                </c:pt>
              </c:strCache>
            </c:strRef>
          </c:cat>
          <c:val>
            <c:numRef>
              <c:f>'Pivot Table'!$B$22:$B$26</c:f>
              <c:numCache>
                <c:formatCode>General</c:formatCode>
                <c:ptCount val="4"/>
                <c:pt idx="0">
                  <c:v>3</c:v>
                </c:pt>
                <c:pt idx="2">
                  <c:v>2</c:v>
                </c:pt>
              </c:numCache>
            </c:numRef>
          </c:val>
          <c:smooth val="0"/>
          <c:extLst>
            <c:ext xmlns:c16="http://schemas.microsoft.com/office/drawing/2014/chart" uri="{C3380CC4-5D6E-409C-BE32-E72D297353CC}">
              <c16:uniqueId val="{00000000-2006-4BA8-9B0A-243B59183F7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Table'!$A$22:$A$26</c:f>
              <c:strCache>
                <c:ptCount val="4"/>
                <c:pt idx="0">
                  <c:v>1-2 Miles</c:v>
                </c:pt>
                <c:pt idx="1">
                  <c:v>2-5 Miles</c:v>
                </c:pt>
                <c:pt idx="2">
                  <c:v>5-10 Miles</c:v>
                </c:pt>
                <c:pt idx="3">
                  <c:v>More than 10 Miles</c:v>
                </c:pt>
              </c:strCache>
            </c:strRef>
          </c:cat>
          <c:val>
            <c:numRef>
              <c:f>'Pivot Table'!$C$22:$C$26</c:f>
              <c:numCache>
                <c:formatCode>General</c:formatCode>
                <c:ptCount val="4"/>
                <c:pt idx="0">
                  <c:v>4</c:v>
                </c:pt>
                <c:pt idx="1">
                  <c:v>1</c:v>
                </c:pt>
                <c:pt idx="2">
                  <c:v>5</c:v>
                </c:pt>
                <c:pt idx="3">
                  <c:v>3</c:v>
                </c:pt>
              </c:numCache>
            </c:numRef>
          </c:val>
          <c:smooth val="0"/>
          <c:extLst>
            <c:ext xmlns:c16="http://schemas.microsoft.com/office/drawing/2014/chart" uri="{C3380CC4-5D6E-409C-BE32-E72D297353CC}">
              <c16:uniqueId val="{00000001-2006-4BA8-9B0A-243B59183F7C}"/>
            </c:ext>
          </c:extLst>
        </c:ser>
        <c:dLbls>
          <c:showLegendKey val="0"/>
          <c:showVal val="0"/>
          <c:showCatName val="0"/>
          <c:showSerName val="0"/>
          <c:showPercent val="0"/>
          <c:showBubbleSize val="0"/>
        </c:dLbls>
        <c:smooth val="0"/>
        <c:axId val="458600239"/>
        <c:axId val="458602159"/>
      </c:lineChart>
      <c:catAx>
        <c:axId val="458600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02159"/>
        <c:crosses val="autoZero"/>
        <c:auto val="1"/>
        <c:lblAlgn val="ctr"/>
        <c:lblOffset val="100"/>
        <c:noMultiLvlLbl val="0"/>
      </c:catAx>
      <c:valAx>
        <c:axId val="45860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0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2">
                  <c:v>5</c:v>
                </c:pt>
              </c:numCache>
            </c:numRef>
          </c:val>
          <c:smooth val="0"/>
          <c:extLst>
            <c:ext xmlns:c16="http://schemas.microsoft.com/office/drawing/2014/chart" uri="{C3380CC4-5D6E-409C-BE32-E72D297353CC}">
              <c16:uniqueId val="{00000000-67FD-4BE7-A4BF-2FE9022FF852}"/>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1</c:v>
                </c:pt>
                <c:pt idx="1">
                  <c:v>10</c:v>
                </c:pt>
                <c:pt idx="2">
                  <c:v>2</c:v>
                </c:pt>
              </c:numCache>
            </c:numRef>
          </c:val>
          <c:smooth val="0"/>
          <c:extLst>
            <c:ext xmlns:c16="http://schemas.microsoft.com/office/drawing/2014/chart" uri="{C3380CC4-5D6E-409C-BE32-E72D297353CC}">
              <c16:uniqueId val="{00000001-67FD-4BE7-A4BF-2FE9022FF852}"/>
            </c:ext>
          </c:extLst>
        </c:ser>
        <c:dLbls>
          <c:showLegendKey val="0"/>
          <c:showVal val="0"/>
          <c:showCatName val="0"/>
          <c:showSerName val="0"/>
          <c:showPercent val="0"/>
          <c:showBubbleSize val="0"/>
        </c:dLbls>
        <c:marker val="1"/>
        <c:smooth val="0"/>
        <c:axId val="458624239"/>
        <c:axId val="458639119"/>
      </c:lineChart>
      <c:catAx>
        <c:axId val="458624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39119"/>
        <c:crosses val="autoZero"/>
        <c:auto val="1"/>
        <c:lblAlgn val="ctr"/>
        <c:lblOffset val="100"/>
        <c:noMultiLvlLbl val="0"/>
      </c:catAx>
      <c:valAx>
        <c:axId val="45863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2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15000</c:v>
                </c:pt>
                <c:pt idx="1">
                  <c:v>23333.333333333332</c:v>
                </c:pt>
              </c:numCache>
            </c:numRef>
          </c:val>
          <c:extLst>
            <c:ext xmlns:c16="http://schemas.microsoft.com/office/drawing/2014/chart" uri="{C3380CC4-5D6E-409C-BE32-E72D297353CC}">
              <c16:uniqueId val="{00000000-C9C3-4A8F-BFD0-5E53087AE8B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63333.333333333336</c:v>
                </c:pt>
                <c:pt idx="1">
                  <c:v>48571.428571428572</c:v>
                </c:pt>
              </c:numCache>
            </c:numRef>
          </c:val>
          <c:extLst>
            <c:ext xmlns:c16="http://schemas.microsoft.com/office/drawing/2014/chart" uri="{C3380CC4-5D6E-409C-BE32-E72D297353CC}">
              <c16:uniqueId val="{00000001-C9C3-4A8F-BFD0-5E53087AE8BA}"/>
            </c:ext>
          </c:extLst>
        </c:ser>
        <c:dLbls>
          <c:showLegendKey val="0"/>
          <c:showVal val="0"/>
          <c:showCatName val="0"/>
          <c:showSerName val="0"/>
          <c:showPercent val="0"/>
          <c:showBubbleSize val="0"/>
        </c:dLbls>
        <c:gapWidth val="219"/>
        <c:overlap val="-27"/>
        <c:axId val="458625199"/>
        <c:axId val="458651119"/>
      </c:barChart>
      <c:catAx>
        <c:axId val="458625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51119"/>
        <c:crosses val="autoZero"/>
        <c:auto val="1"/>
        <c:lblAlgn val="ctr"/>
        <c:lblOffset val="100"/>
        <c:noMultiLvlLbl val="0"/>
      </c:catAx>
      <c:valAx>
        <c:axId val="458651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251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1-2 Miles</c:v>
                </c:pt>
                <c:pt idx="1">
                  <c:v>2-5 Miles</c:v>
                </c:pt>
                <c:pt idx="2">
                  <c:v>5-10 Miles</c:v>
                </c:pt>
                <c:pt idx="3">
                  <c:v>More than 10 Miles</c:v>
                </c:pt>
              </c:strCache>
            </c:strRef>
          </c:cat>
          <c:val>
            <c:numRef>
              <c:f>'Pivot Table'!$B$22:$B$26</c:f>
              <c:numCache>
                <c:formatCode>General</c:formatCode>
                <c:ptCount val="4"/>
                <c:pt idx="0">
                  <c:v>3</c:v>
                </c:pt>
                <c:pt idx="2">
                  <c:v>2</c:v>
                </c:pt>
              </c:numCache>
            </c:numRef>
          </c:val>
          <c:smooth val="0"/>
          <c:extLst>
            <c:ext xmlns:c16="http://schemas.microsoft.com/office/drawing/2014/chart" uri="{C3380CC4-5D6E-409C-BE32-E72D297353CC}">
              <c16:uniqueId val="{00000000-5BB8-41FE-8CCA-54CE90A0287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Table'!$A$22:$A$26</c:f>
              <c:strCache>
                <c:ptCount val="4"/>
                <c:pt idx="0">
                  <c:v>1-2 Miles</c:v>
                </c:pt>
                <c:pt idx="1">
                  <c:v>2-5 Miles</c:v>
                </c:pt>
                <c:pt idx="2">
                  <c:v>5-10 Miles</c:v>
                </c:pt>
                <c:pt idx="3">
                  <c:v>More than 10 Miles</c:v>
                </c:pt>
              </c:strCache>
            </c:strRef>
          </c:cat>
          <c:val>
            <c:numRef>
              <c:f>'Pivot Table'!$C$22:$C$26</c:f>
              <c:numCache>
                <c:formatCode>General</c:formatCode>
                <c:ptCount val="4"/>
                <c:pt idx="0">
                  <c:v>4</c:v>
                </c:pt>
                <c:pt idx="1">
                  <c:v>1</c:v>
                </c:pt>
                <c:pt idx="2">
                  <c:v>5</c:v>
                </c:pt>
                <c:pt idx="3">
                  <c:v>3</c:v>
                </c:pt>
              </c:numCache>
            </c:numRef>
          </c:val>
          <c:smooth val="0"/>
          <c:extLst>
            <c:ext xmlns:c16="http://schemas.microsoft.com/office/drawing/2014/chart" uri="{C3380CC4-5D6E-409C-BE32-E72D297353CC}">
              <c16:uniqueId val="{00000001-5BB8-41FE-8CCA-54CE90A02879}"/>
            </c:ext>
          </c:extLst>
        </c:ser>
        <c:dLbls>
          <c:showLegendKey val="0"/>
          <c:showVal val="0"/>
          <c:showCatName val="0"/>
          <c:showSerName val="0"/>
          <c:showPercent val="0"/>
          <c:showBubbleSize val="0"/>
        </c:dLbls>
        <c:smooth val="0"/>
        <c:axId val="458600239"/>
        <c:axId val="458602159"/>
      </c:lineChart>
      <c:catAx>
        <c:axId val="458600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02159"/>
        <c:crosses val="autoZero"/>
        <c:auto val="1"/>
        <c:lblAlgn val="ctr"/>
        <c:lblOffset val="100"/>
        <c:noMultiLvlLbl val="0"/>
      </c:catAx>
      <c:valAx>
        <c:axId val="45860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0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2">
                  <c:v>5</c:v>
                </c:pt>
              </c:numCache>
            </c:numRef>
          </c:val>
          <c:smooth val="0"/>
          <c:extLst>
            <c:ext xmlns:c16="http://schemas.microsoft.com/office/drawing/2014/chart" uri="{C3380CC4-5D6E-409C-BE32-E72D297353CC}">
              <c16:uniqueId val="{00000000-86A5-47B6-9ED9-93A058C0836E}"/>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1</c:v>
                </c:pt>
                <c:pt idx="1">
                  <c:v>10</c:v>
                </c:pt>
                <c:pt idx="2">
                  <c:v>2</c:v>
                </c:pt>
              </c:numCache>
            </c:numRef>
          </c:val>
          <c:smooth val="0"/>
          <c:extLst>
            <c:ext xmlns:c16="http://schemas.microsoft.com/office/drawing/2014/chart" uri="{C3380CC4-5D6E-409C-BE32-E72D297353CC}">
              <c16:uniqueId val="{00000001-86A5-47B6-9ED9-93A058C0836E}"/>
            </c:ext>
          </c:extLst>
        </c:ser>
        <c:dLbls>
          <c:showLegendKey val="0"/>
          <c:showVal val="0"/>
          <c:showCatName val="0"/>
          <c:showSerName val="0"/>
          <c:showPercent val="0"/>
          <c:showBubbleSize val="0"/>
        </c:dLbls>
        <c:marker val="1"/>
        <c:smooth val="0"/>
        <c:axId val="458624239"/>
        <c:axId val="458639119"/>
      </c:lineChart>
      <c:catAx>
        <c:axId val="458624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39119"/>
        <c:crosses val="autoZero"/>
        <c:auto val="1"/>
        <c:lblAlgn val="ctr"/>
        <c:lblOffset val="100"/>
        <c:noMultiLvlLbl val="0"/>
      </c:catAx>
      <c:valAx>
        <c:axId val="45863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2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289560</xdr:colOff>
      <xdr:row>0</xdr:row>
      <xdr:rowOff>64770</xdr:rowOff>
    </xdr:from>
    <xdr:to>
      <xdr:col>11</xdr:col>
      <xdr:colOff>594360</xdr:colOff>
      <xdr:row>15</xdr:row>
      <xdr:rowOff>64770</xdr:rowOff>
    </xdr:to>
    <xdr:graphicFrame macro="">
      <xdr:nvGraphicFramePr>
        <xdr:cNvPr id="2" name="Chart 1">
          <a:extLst>
            <a:ext uri="{FF2B5EF4-FFF2-40B4-BE49-F238E27FC236}">
              <a16:creationId xmlns:a16="http://schemas.microsoft.com/office/drawing/2014/main" id="{F43BD3DE-CD81-2365-F098-6EB29B0C5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251460</xdr:colOff>
      <xdr:row>19</xdr:row>
      <xdr:rowOff>49530</xdr:rowOff>
    </xdr:from>
    <xdr:to>
      <xdr:col>11</xdr:col>
      <xdr:colOff>556260</xdr:colOff>
      <xdr:row>34</xdr:row>
      <xdr:rowOff>49530</xdr:rowOff>
    </xdr:to>
    <xdr:graphicFrame macro="">
      <xdr:nvGraphicFramePr>
        <xdr:cNvPr id="3" name="Chart 2">
          <a:extLst>
            <a:ext uri="{FF2B5EF4-FFF2-40B4-BE49-F238E27FC236}">
              <a16:creationId xmlns:a16="http://schemas.microsoft.com/office/drawing/2014/main" id="{FD3CF931-E291-51F9-99A5-E32E24B1E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243840</xdr:colOff>
      <xdr:row>40</xdr:row>
      <xdr:rowOff>41910</xdr:rowOff>
    </xdr:from>
    <xdr:to>
      <xdr:col>11</xdr:col>
      <xdr:colOff>548640</xdr:colOff>
      <xdr:row>55</xdr:row>
      <xdr:rowOff>41910</xdr:rowOff>
    </xdr:to>
    <xdr:graphicFrame macro="">
      <xdr:nvGraphicFramePr>
        <xdr:cNvPr id="4" name="Chart 3">
          <a:extLst>
            <a:ext uri="{FF2B5EF4-FFF2-40B4-BE49-F238E27FC236}">
              <a16:creationId xmlns:a16="http://schemas.microsoft.com/office/drawing/2014/main" id="{806F2EF5-BC11-CE6C-7E14-16F58EE52F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6</xdr:row>
      <xdr:rowOff>53340</xdr:rowOff>
    </xdr:from>
    <xdr:to>
      <xdr:col>9</xdr:col>
      <xdr:colOff>129540</xdr:colOff>
      <xdr:row>20</xdr:row>
      <xdr:rowOff>60960</xdr:rowOff>
    </xdr:to>
    <xdr:graphicFrame macro="">
      <xdr:nvGraphicFramePr>
        <xdr:cNvPr id="2" name="Chart 1">
          <a:extLst>
            <a:ext uri="{FF2B5EF4-FFF2-40B4-BE49-F238E27FC236}">
              <a16:creationId xmlns:a16="http://schemas.microsoft.com/office/drawing/2014/main" id="{F108D248-A045-40BF-A108-C922733D7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xdr:colOff>
      <xdr:row>20</xdr:row>
      <xdr:rowOff>91440</xdr:rowOff>
    </xdr:from>
    <xdr:to>
      <xdr:col>14</xdr:col>
      <xdr:colOff>601980</xdr:colOff>
      <xdr:row>35</xdr:row>
      <xdr:rowOff>121920</xdr:rowOff>
    </xdr:to>
    <xdr:graphicFrame macro="">
      <xdr:nvGraphicFramePr>
        <xdr:cNvPr id="3" name="Chart 2">
          <a:extLst>
            <a:ext uri="{FF2B5EF4-FFF2-40B4-BE49-F238E27FC236}">
              <a16:creationId xmlns:a16="http://schemas.microsoft.com/office/drawing/2014/main" id="{32E402B2-9FF4-4BBC-BCB8-592DABF8E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175260</xdr:colOff>
      <xdr:row>6</xdr:row>
      <xdr:rowOff>53340</xdr:rowOff>
    </xdr:from>
    <xdr:to>
      <xdr:col>14</xdr:col>
      <xdr:colOff>601980</xdr:colOff>
      <xdr:row>20</xdr:row>
      <xdr:rowOff>53340</xdr:rowOff>
    </xdr:to>
    <xdr:graphicFrame macro="">
      <xdr:nvGraphicFramePr>
        <xdr:cNvPr id="4" name="Chart 3">
          <a:extLst>
            <a:ext uri="{FF2B5EF4-FFF2-40B4-BE49-F238E27FC236}">
              <a16:creationId xmlns:a16="http://schemas.microsoft.com/office/drawing/2014/main" id="{F9A778B9-B1B8-4D3A-9F06-8B4FD69A9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30481</xdr:rowOff>
    </xdr:from>
    <xdr:to>
      <xdr:col>3</xdr:col>
      <xdr:colOff>0</xdr:colOff>
      <xdr:row>11</xdr:row>
      <xdr:rowOff>60961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BBE88EA-4E3F-F54B-8B03-32883F32F56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27761"/>
              <a:ext cx="1828800"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83821</xdr:rowOff>
    </xdr:from>
    <xdr:to>
      <xdr:col>3</xdr:col>
      <xdr:colOff>0</xdr:colOff>
      <xdr:row>27</xdr:row>
      <xdr:rowOff>137161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FCF0E30-67CB-DEBB-C02A-CED964DD1E7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75661"/>
              <a:ext cx="1828800" cy="1699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11</xdr:row>
      <xdr:rowOff>121921</xdr:rowOff>
    </xdr:from>
    <xdr:to>
      <xdr:col>3</xdr:col>
      <xdr:colOff>7620</xdr:colOff>
      <xdr:row>18</xdr:row>
      <xdr:rowOff>15241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3AAF4CF-AD42-76F0-5698-4D09C893AA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 y="2133601"/>
              <a:ext cx="182880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103.375446990744" createdVersion="8" refreshedVersion="8" minRefreshableVersion="3" recordCount="1000" xr:uid="{F9D2A4F1-474A-4C05-882C-97C2006057E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30740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037FA6-39B5-4BFF-8B46-A7D7DC7B8C1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D26"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5">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2B0D32-9926-4AA8-9A84-7ED8AEB645A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1">
    <format dxfId="3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5AF7CF-EC2D-4C7F-8F5F-5A3941C7B6BE}"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1C92AE7-797F-4D08-B4F0-BD5763FA4726}" sourceName="Marital Status">
  <pivotTables>
    <pivotTable tabId="3" name="PivotTable1"/>
    <pivotTable tabId="3" name="PivotTable2"/>
    <pivotTable tabId="3" name="PivotTable3"/>
  </pivotTables>
  <data>
    <tabular pivotCacheId="20307408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CBFBE92-4FA6-48C7-9F20-035356B14D2C}" sourceName="Education">
  <pivotTables>
    <pivotTable tabId="3" name="PivotTable1"/>
    <pivotTable tabId="3" name="PivotTable2"/>
    <pivotTable tabId="3" name="PivotTable3"/>
  </pivotTables>
  <data>
    <tabular pivotCacheId="203074087">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13CA5C-C9DE-47C3-8FD0-13CFBC262DCB}" sourceName="Region">
  <pivotTables>
    <pivotTable tabId="3" name="PivotTable1"/>
    <pivotTable tabId="3" name="PivotTable2"/>
    <pivotTable tabId="3" name="PivotTable3"/>
  </pivotTables>
  <data>
    <tabular pivotCacheId="203074087">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6D3282E-D825-4BC0-8B74-918FF28C78F2}" cache="Slicer_Marital_Status" caption="Marital Status" rowHeight="234950"/>
  <slicer name="Education" xr10:uid="{D257F6A4-75F7-41BF-BAC8-4A60315588FA}" cache="Slicer_Education" caption="Education" rowHeight="234950"/>
  <slicer name="Region" xr10:uid="{85973941-246F-4A33-9C55-F4061FB286C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739A7-7A24-44DF-8D9A-DEBEC7ABE129}">
  <dimension ref="A1:N1001"/>
  <sheetViews>
    <sheetView workbookViewId="0">
      <selection activeCell="J13" sqref="J13"/>
    </sheetView>
  </sheetViews>
  <sheetFormatPr defaultColWidth="11.88671875" defaultRowHeight="14.4" x14ac:dyDescent="0.3"/>
  <cols>
    <col min="2" max="2" width="23.33203125" bestFit="1" customWidth="1"/>
    <col min="4" max="4" width="11.88671875" style="1"/>
    <col min="13" max="13" width="13.6640625" bestFit="1" customWidth="1"/>
    <col min="14" max="14" width="15.44140625" customWidth="1"/>
  </cols>
  <sheetData>
    <row r="1" spans="1:14" x14ac:dyDescent="0.3">
      <c r="A1" t="s">
        <v>0</v>
      </c>
      <c r="B1" t="s">
        <v>1</v>
      </c>
      <c r="C1" t="s">
        <v>2</v>
      </c>
      <c r="D1" s="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IF(L2&gt;54, "Old", IF(L2&gt;=31, "Middle Age", IF(L2&lt;31,"Adolescent", "Invalid")))</f>
        <v>Middle Age</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IF(L3&gt;54, "Old", IF(L3&gt;=31, "Middle Age", IF(L3&lt;31,"Adolescent", "Invalid")))</f>
        <v>Middle Age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Middle Age</v>
      </c>
      <c r="N5" t="s">
        <v>15</v>
      </c>
    </row>
    <row r="6" spans="1:14" x14ac:dyDescent="0.3">
      <c r="A6">
        <v>25597</v>
      </c>
      <c r="B6" t="s">
        <v>37</v>
      </c>
      <c r="C6" t="s">
        <v>38</v>
      </c>
      <c r="D6" s="1">
        <v>30000</v>
      </c>
      <c r="E6">
        <v>0</v>
      </c>
      <c r="F6" t="s">
        <v>13</v>
      </c>
      <c r="G6" t="s">
        <v>20</v>
      </c>
      <c r="H6" t="s">
        <v>18</v>
      </c>
      <c r="I6">
        <v>0</v>
      </c>
      <c r="J6" t="s">
        <v>16</v>
      </c>
      <c r="K6" t="s">
        <v>17</v>
      </c>
      <c r="L6">
        <v>36</v>
      </c>
      <c r="M6" t="str">
        <f t="shared" si="0"/>
        <v>Middle Age</v>
      </c>
      <c r="N6" t="s">
        <v>15</v>
      </c>
    </row>
    <row r="7" spans="1:14" x14ac:dyDescent="0.3">
      <c r="A7">
        <v>13507</v>
      </c>
      <c r="B7" t="s">
        <v>36</v>
      </c>
      <c r="C7" t="s">
        <v>39</v>
      </c>
      <c r="D7" s="1">
        <v>10000</v>
      </c>
      <c r="E7">
        <v>2</v>
      </c>
      <c r="F7" t="s">
        <v>19</v>
      </c>
      <c r="G7" t="s">
        <v>25</v>
      </c>
      <c r="H7" t="s">
        <v>15</v>
      </c>
      <c r="I7">
        <v>0</v>
      </c>
      <c r="J7" t="s">
        <v>26</v>
      </c>
      <c r="K7" t="s">
        <v>17</v>
      </c>
      <c r="L7">
        <v>50</v>
      </c>
      <c r="M7" t="str">
        <f t="shared" si="0"/>
        <v>Middle Age</v>
      </c>
      <c r="N7" t="s">
        <v>18</v>
      </c>
    </row>
    <row r="8" spans="1:14" x14ac:dyDescent="0.3">
      <c r="A8">
        <v>27974</v>
      </c>
      <c r="B8" t="s">
        <v>37</v>
      </c>
      <c r="C8" t="s">
        <v>38</v>
      </c>
      <c r="D8" s="1">
        <v>160000</v>
      </c>
      <c r="E8">
        <v>2</v>
      </c>
      <c r="F8" t="s">
        <v>27</v>
      </c>
      <c r="G8" t="s">
        <v>28</v>
      </c>
      <c r="H8" t="s">
        <v>15</v>
      </c>
      <c r="I8">
        <v>4</v>
      </c>
      <c r="J8" t="s">
        <v>16</v>
      </c>
      <c r="K8" t="s">
        <v>24</v>
      </c>
      <c r="L8">
        <v>33</v>
      </c>
      <c r="M8" t="str">
        <f t="shared" si="0"/>
        <v>Middle Age</v>
      </c>
      <c r="N8" t="s">
        <v>15</v>
      </c>
    </row>
    <row r="9" spans="1:14" x14ac:dyDescent="0.3">
      <c r="A9">
        <v>19364</v>
      </c>
      <c r="B9" t="s">
        <v>36</v>
      </c>
      <c r="C9" t="s">
        <v>38</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IF(L67&gt;54, "Old", IF(L67&gt;=31, "Middle Age", IF(L67&lt;31,"Adolescent", "Invalid")))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IF(L131&gt;54, "Old", IF(L131&gt;=31, "Middle Age", IF(L131&lt;31,"Adolescent", "Invalid")))</f>
        <v>Middle 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46</v>
      </c>
      <c r="K195" t="s">
        <v>24</v>
      </c>
      <c r="L195">
        <v>41</v>
      </c>
      <c r="M195" t="str">
        <f t="shared" ref="M195:M258" si="3">IF(L195&gt;54, "Old", IF(L195&gt;=31, "Middle Age", IF(L195&lt;31,"Adolescent", "Invalid")))</f>
        <v>Middle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IF(L259&gt;54, "Old", IF(L259&gt;=31, "Middle Age", IF(L259&lt;31,"Adolescent", "Invalid")))</f>
        <v>Middle Age</v>
      </c>
      <c r="N259" t="s">
        <v>15</v>
      </c>
    </row>
    <row r="260" spans="1:14" x14ac:dyDescent="0.3">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IF(L323&gt;54, "Old", IF(L323&gt;=31, "Middle Age", IF(L323&lt;31,"Adolescent", "Invalid")))</f>
        <v>Middle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IF(L387&gt;54, "Old", IF(L387&gt;=31, "Middle Age", IF(L387&lt;31,"Adolescent", "Invalid")))</f>
        <v>Middle Age</v>
      </c>
      <c r="N387" t="s">
        <v>18</v>
      </c>
    </row>
    <row r="388" spans="1:14" x14ac:dyDescent="0.3">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IF(L451&gt;54, "Old", IF(L451&gt;=31, "Middle Age", IF(L451&lt;31,"Adolescent", "Invalid")))</f>
        <v>Middle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1">
        <v>60000</v>
      </c>
      <c r="E515">
        <v>4</v>
      </c>
      <c r="F515" t="s">
        <v>31</v>
      </c>
      <c r="G515" t="s">
        <v>28</v>
      </c>
      <c r="H515" t="s">
        <v>15</v>
      </c>
      <c r="I515">
        <v>2</v>
      </c>
      <c r="J515" t="s">
        <v>46</v>
      </c>
      <c r="K515" t="s">
        <v>32</v>
      </c>
      <c r="L515">
        <v>61</v>
      </c>
      <c r="M515" t="str">
        <f t="shared" ref="M515:M578" si="8">IF(L515&gt;54, "Old", IF(L515&gt;=31, "Middle Age", IF(L515&lt;31,"Adolescent", "Invalid")))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IF(L579&gt;54, "Old", IF(L579&gt;=31, "Middle Age", IF(L579&lt;31,"Adolescent", "Invalid")))</f>
        <v>Middle 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46</v>
      </c>
      <c r="K643" t="s">
        <v>32</v>
      </c>
      <c r="L643">
        <v>64</v>
      </c>
      <c r="M643" t="str">
        <f t="shared" ref="M643:M706" si="10">IF(L643&gt;54, "Old", IF(L643&gt;=31, "Middle Age", IF(L643&lt;31,"Adolescent", "Invalid")))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1">
        <v>70000</v>
      </c>
      <c r="E707">
        <v>4</v>
      </c>
      <c r="F707" t="s">
        <v>13</v>
      </c>
      <c r="G707" t="s">
        <v>28</v>
      </c>
      <c r="H707" t="s">
        <v>15</v>
      </c>
      <c r="I707">
        <v>1</v>
      </c>
      <c r="J707" t="s">
        <v>46</v>
      </c>
      <c r="K707" t="s">
        <v>32</v>
      </c>
      <c r="L707">
        <v>59</v>
      </c>
      <c r="M707" t="str">
        <f t="shared" ref="M707:M770" si="11">IF(L707&gt;54, "Old", IF(L707&gt;=31, "Middle Age", IF(L707&lt;31,"Adolescent", "Invalid")))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IF(L771&gt;54, "Old", IF(L771&gt;=31, "Middle Age", IF(L771&lt;31,"Adolescent", "Invalid")))</f>
        <v>Middle 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IF(L835&gt;54, "Old", IF(L835&gt;=31, "Middle Age", IF(L835&lt;31,"Adolescent", "Invalid")))</f>
        <v>Middle 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IF(L899&gt;54, "Old", IF(L899&gt;=31, "Middle Age", IF(L899&lt;31,"Adolescent", "Invalid")))</f>
        <v>Adolescent</v>
      </c>
      <c r="N899" t="s">
        <v>18</v>
      </c>
    </row>
    <row r="900" spans="1:14" x14ac:dyDescent="0.3">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IF(L963&gt;54, "Old", IF(L963&gt;=31, "Middle Age", IF(L963&lt;31,"Adolescent", "Invalid")))</f>
        <v>Old</v>
      </c>
      <c r="N963" t="s">
        <v>18</v>
      </c>
    </row>
    <row r="964" spans="1:14" x14ac:dyDescent="0.3">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001" xr:uid="{095739A7-7A24-44DF-8D9A-DEBEC7ABE12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6CEF5-06F0-4939-A130-066945931B97}">
  <dimension ref="A3:D46"/>
  <sheetViews>
    <sheetView topLeftCell="A46" workbookViewId="0">
      <selection activeCell="O45" activeCellId="1" sqref="V31 O45"/>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3" t="s">
        <v>41</v>
      </c>
      <c r="B3" s="3" t="s">
        <v>44</v>
      </c>
    </row>
    <row r="4" spans="1:4" x14ac:dyDescent="0.3">
      <c r="A4" s="3" t="s">
        <v>42</v>
      </c>
      <c r="B4" t="s">
        <v>18</v>
      </c>
      <c r="C4" t="s">
        <v>15</v>
      </c>
      <c r="D4" t="s">
        <v>43</v>
      </c>
    </row>
    <row r="5" spans="1:4" x14ac:dyDescent="0.3">
      <c r="A5" s="4" t="s">
        <v>39</v>
      </c>
      <c r="B5" s="5">
        <v>15000</v>
      </c>
      <c r="C5" s="5">
        <v>63333.333333333336</v>
      </c>
      <c r="D5" s="5">
        <v>51250</v>
      </c>
    </row>
    <row r="6" spans="1:4" x14ac:dyDescent="0.3">
      <c r="A6" s="4" t="s">
        <v>38</v>
      </c>
      <c r="B6" s="5">
        <v>23333.333333333332</v>
      </c>
      <c r="C6" s="5">
        <v>48571.428571428572</v>
      </c>
      <c r="D6" s="5">
        <v>41000</v>
      </c>
    </row>
    <row r="7" spans="1:4" x14ac:dyDescent="0.3">
      <c r="A7" s="4" t="s">
        <v>43</v>
      </c>
      <c r="B7" s="5">
        <v>20000</v>
      </c>
      <c r="C7" s="5">
        <v>55384.615384615383</v>
      </c>
      <c r="D7" s="5">
        <v>45555.555555555555</v>
      </c>
    </row>
    <row r="20" spans="1:4" x14ac:dyDescent="0.3">
      <c r="A20" s="3" t="s">
        <v>45</v>
      </c>
      <c r="B20" s="3" t="s">
        <v>44</v>
      </c>
    </row>
    <row r="21" spans="1:4" x14ac:dyDescent="0.3">
      <c r="A21" s="3" t="s">
        <v>42</v>
      </c>
      <c r="B21" t="s">
        <v>18</v>
      </c>
      <c r="C21" t="s">
        <v>15</v>
      </c>
      <c r="D21" t="s">
        <v>43</v>
      </c>
    </row>
    <row r="22" spans="1:4" x14ac:dyDescent="0.3">
      <c r="A22" s="4" t="s">
        <v>26</v>
      </c>
      <c r="B22" s="6">
        <v>3</v>
      </c>
      <c r="C22" s="6">
        <v>4</v>
      </c>
      <c r="D22" s="6">
        <v>7</v>
      </c>
    </row>
    <row r="23" spans="1:4" x14ac:dyDescent="0.3">
      <c r="A23" s="4" t="s">
        <v>22</v>
      </c>
      <c r="B23" s="6"/>
      <c r="C23" s="6">
        <v>1</v>
      </c>
      <c r="D23" s="6">
        <v>1</v>
      </c>
    </row>
    <row r="24" spans="1:4" x14ac:dyDescent="0.3">
      <c r="A24" s="4" t="s">
        <v>23</v>
      </c>
      <c r="B24" s="6">
        <v>2</v>
      </c>
      <c r="C24" s="6">
        <v>5</v>
      </c>
      <c r="D24" s="6">
        <v>7</v>
      </c>
    </row>
    <row r="25" spans="1:4" x14ac:dyDescent="0.3">
      <c r="A25" s="4" t="s">
        <v>46</v>
      </c>
      <c r="B25" s="6"/>
      <c r="C25" s="6">
        <v>3</v>
      </c>
      <c r="D25" s="6">
        <v>3</v>
      </c>
    </row>
    <row r="26" spans="1:4" x14ac:dyDescent="0.3">
      <c r="A26" s="4" t="s">
        <v>43</v>
      </c>
      <c r="B26" s="6">
        <v>5</v>
      </c>
      <c r="C26" s="6">
        <v>13</v>
      </c>
      <c r="D26" s="6">
        <v>18</v>
      </c>
    </row>
    <row r="41" spans="1:4" x14ac:dyDescent="0.3">
      <c r="A41" s="3" t="s">
        <v>45</v>
      </c>
      <c r="B41" s="3" t="s">
        <v>44</v>
      </c>
    </row>
    <row r="42" spans="1:4" x14ac:dyDescent="0.3">
      <c r="A42" s="3" t="s">
        <v>42</v>
      </c>
      <c r="B42" t="s">
        <v>18</v>
      </c>
      <c r="C42" t="s">
        <v>15</v>
      </c>
      <c r="D42" t="s">
        <v>43</v>
      </c>
    </row>
    <row r="43" spans="1:4" x14ac:dyDescent="0.3">
      <c r="A43" s="4" t="s">
        <v>47</v>
      </c>
      <c r="B43" s="6"/>
      <c r="C43" s="6">
        <v>1</v>
      </c>
      <c r="D43" s="6">
        <v>1</v>
      </c>
    </row>
    <row r="44" spans="1:4" x14ac:dyDescent="0.3">
      <c r="A44" s="4" t="s">
        <v>48</v>
      </c>
      <c r="B44" s="6"/>
      <c r="C44" s="6">
        <v>10</v>
      </c>
      <c r="D44" s="6">
        <v>10</v>
      </c>
    </row>
    <row r="45" spans="1:4" x14ac:dyDescent="0.3">
      <c r="A45" s="4" t="s">
        <v>49</v>
      </c>
      <c r="B45" s="6">
        <v>5</v>
      </c>
      <c r="C45" s="6">
        <v>2</v>
      </c>
      <c r="D45" s="6">
        <v>7</v>
      </c>
    </row>
    <row r="46" spans="1:4" x14ac:dyDescent="0.3">
      <c r="A46" s="4" t="s">
        <v>43</v>
      </c>
      <c r="B46" s="6">
        <v>5</v>
      </c>
      <c r="C46" s="6">
        <v>13</v>
      </c>
      <c r="D46" s="6">
        <v>18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7F739-8A0F-4FD4-AD35-32549BA3DD64}">
  <dimension ref="A1:O6"/>
  <sheetViews>
    <sheetView showGridLines="0" tabSelected="1" workbookViewId="0">
      <selection activeCell="R11" sqref="R11"/>
    </sheetView>
  </sheetViews>
  <sheetFormatPr defaultRowHeight="14.4" x14ac:dyDescent="0.3"/>
  <sheetData>
    <row r="1" spans="1:15" x14ac:dyDescent="0.3">
      <c r="A1" s="7" t="s">
        <v>50</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 Quynh Nhi Dinh</cp:lastModifiedBy>
  <dcterms:created xsi:type="dcterms:W3CDTF">2022-03-18T02:50:57Z</dcterms:created>
  <dcterms:modified xsi:type="dcterms:W3CDTF">2026-03-22T15:57:31Z</dcterms:modified>
</cp:coreProperties>
</file>